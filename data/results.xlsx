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10d09bf06c1a41a/Skrivebord/Python/data/"/>
    </mc:Choice>
  </mc:AlternateContent>
  <xr:revisionPtr revIDLastSave="61" documentId="11_2B59D2BFD3E0DF058160D5F050658077575DE850" xr6:coauthVersionLast="47" xr6:coauthVersionMax="47" xr10:uidLastSave="{89FF32A7-5311-4A02-A3A1-7C89E3ED20EA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17" i="1"/>
  <c r="D18" i="1"/>
  <c r="D15" i="1"/>
  <c r="K16" i="1"/>
  <c r="K17" i="1"/>
  <c r="K18" i="1"/>
  <c r="K15" i="1"/>
  <c r="J16" i="1"/>
  <c r="J17" i="1"/>
  <c r="J18" i="1"/>
  <c r="J15" i="1"/>
  <c r="I16" i="1"/>
  <c r="I17" i="1"/>
  <c r="I18" i="1"/>
  <c r="I15" i="1"/>
</calcChain>
</file>

<file path=xl/sharedStrings.xml><?xml version="1.0" encoding="utf-8"?>
<sst xmlns="http://schemas.openxmlformats.org/spreadsheetml/2006/main" count="34" uniqueCount="21">
  <si>
    <t>black</t>
  </si>
  <si>
    <t>white</t>
  </si>
  <si>
    <t>grey</t>
  </si>
  <si>
    <t>blank</t>
  </si>
  <si>
    <t>5</t>
  </si>
  <si>
    <t>6,5</t>
  </si>
  <si>
    <t>8</t>
  </si>
  <si>
    <t>high</t>
  </si>
  <si>
    <t>mean</t>
  </si>
  <si>
    <t>std</t>
  </si>
  <si>
    <t>Effect</t>
  </si>
  <si>
    <t>R_L</t>
  </si>
  <si>
    <t>T(C)</t>
  </si>
  <si>
    <t>T(K)</t>
  </si>
  <si>
    <t>Vs(svart,mV)</t>
  </si>
  <si>
    <t>Vs(hvit,mV)</t>
  </si>
  <si>
    <t>Vs(grå,mV)</t>
  </si>
  <si>
    <t>Vs(blank,mV)</t>
  </si>
  <si>
    <t>ε_hvit</t>
  </si>
  <si>
    <t>ε_grå</t>
  </si>
  <si>
    <t>ε_blank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</si>
</sst>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workbookViewId="0">
      <selection activeCell="K18" sqref="A14:K18"/>
    </sheetView>
  </sheetViews>
  <sheetFormatPr defaultRowHeight="14.5" x14ac:dyDescent="0.35"/>
  <cols>
    <col min="5" max="5" width="13.7265625" customWidth="1"/>
    <col min="6" max="6" width="12.26953125" customWidth="1"/>
    <col min="7" max="7" width="10.36328125" customWidth="1"/>
    <col min="8" max="8" width="12.1796875" customWidth="1"/>
  </cols>
  <sheetData>
    <row r="1" spans="1:17" x14ac:dyDescent="0.35"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  <c r="O1" s="1"/>
      <c r="P1" s="1"/>
      <c r="Q1" s="1"/>
    </row>
    <row r="2" spans="1:17" x14ac:dyDescent="0.35">
      <c r="B2" t="s">
        <v>4</v>
      </c>
      <c r="C2" t="s">
        <v>5</v>
      </c>
      <c r="D2" t="s">
        <v>6</v>
      </c>
      <c r="E2" t="s">
        <v>7</v>
      </c>
      <c r="F2" t="s">
        <v>4</v>
      </c>
      <c r="G2" t="s">
        <v>5</v>
      </c>
      <c r="H2" t="s">
        <v>6</v>
      </c>
      <c r="I2" t="s">
        <v>7</v>
      </c>
      <c r="J2" t="s">
        <v>4</v>
      </c>
      <c r="K2" t="s">
        <v>5</v>
      </c>
      <c r="L2" t="s">
        <v>6</v>
      </c>
      <c r="M2" t="s">
        <v>7</v>
      </c>
      <c r="N2" t="s">
        <v>4</v>
      </c>
      <c r="O2" t="s">
        <v>5</v>
      </c>
      <c r="P2" t="s">
        <v>6</v>
      </c>
      <c r="Q2" t="s">
        <v>7</v>
      </c>
    </row>
    <row r="3" spans="1:17" x14ac:dyDescent="0.35">
      <c r="A3">
        <v>0</v>
      </c>
      <c r="B3">
        <v>5.9872061546236317</v>
      </c>
      <c r="C3">
        <v>8.3271016640621109</v>
      </c>
      <c r="D3">
        <v>9.8140341631877366</v>
      </c>
      <c r="E3">
        <v>10.61571698160968</v>
      </c>
      <c r="F3">
        <v>5.7020341312569913</v>
      </c>
      <c r="G3">
        <v>7.9136733176336964</v>
      </c>
      <c r="H3">
        <v>9.6665040134683995</v>
      </c>
      <c r="I3">
        <v>10.668493544136821</v>
      </c>
      <c r="J3">
        <v>0.96552235932896935</v>
      </c>
      <c r="K3">
        <v>1.733665682699923</v>
      </c>
      <c r="L3">
        <v>2.136162102813731</v>
      </c>
      <c r="M3">
        <v>2.2202286807330509</v>
      </c>
      <c r="N3">
        <v>0.16990297688807371</v>
      </c>
      <c r="O3">
        <v>0.34343431371204192</v>
      </c>
      <c r="P3">
        <v>0.44362269292899909</v>
      </c>
      <c r="Q3">
        <v>0.49806970364408681</v>
      </c>
    </row>
    <row r="4" spans="1:17" x14ac:dyDescent="0.35">
      <c r="A4">
        <v>1</v>
      </c>
      <c r="B4">
        <v>5.9524269523350846</v>
      </c>
      <c r="C4">
        <v>8.3440232753354948</v>
      </c>
      <c r="D4">
        <v>9.8430637406686543</v>
      </c>
      <c r="E4">
        <v>10.632517634884159</v>
      </c>
      <c r="F4">
        <v>5.6342858288652531</v>
      </c>
      <c r="G4">
        <v>8.0147688864370856</v>
      </c>
      <c r="H4">
        <v>9.756337259446946</v>
      </c>
      <c r="I4">
        <v>10.550357349656631</v>
      </c>
      <c r="J4">
        <v>1.029202243643087</v>
      </c>
      <c r="K4">
        <v>1.7235078713777581</v>
      </c>
      <c r="L4">
        <v>2.1887830862899662</v>
      </c>
      <c r="M4">
        <v>2.2095089444625269</v>
      </c>
      <c r="N4">
        <v>0.18301995312161429</v>
      </c>
      <c r="O4">
        <v>0.45775081005633439</v>
      </c>
      <c r="P4">
        <v>0.46502594472026848</v>
      </c>
      <c r="Q4">
        <v>0.56435279786616888</v>
      </c>
    </row>
    <row r="5" spans="1:17" x14ac:dyDescent="0.35">
      <c r="A5">
        <v>2</v>
      </c>
      <c r="B5">
        <v>5.9954753622555286</v>
      </c>
      <c r="C5">
        <v>8.3270431715481941</v>
      </c>
      <c r="D5">
        <v>9.8781440453856302</v>
      </c>
      <c r="E5">
        <v>10.71013863890534</v>
      </c>
      <c r="F5">
        <v>5.6897172374673017</v>
      </c>
      <c r="G5">
        <v>7.8614303966515937</v>
      </c>
      <c r="H5">
        <v>9.7806528979538125</v>
      </c>
      <c r="I5">
        <v>10.57683078742026</v>
      </c>
      <c r="J5">
        <v>1.0045249548449611</v>
      </c>
      <c r="K5">
        <v>1.659018015410832</v>
      </c>
      <c r="L5">
        <v>2.118397810823712</v>
      </c>
      <c r="M5">
        <v>2.1567026961482201</v>
      </c>
      <c r="N5">
        <v>0.1162833240961436</v>
      </c>
      <c r="O5">
        <v>0.4189081748520454</v>
      </c>
      <c r="P5">
        <v>0.35113636708770318</v>
      </c>
      <c r="Q5">
        <v>0.48780735713710449</v>
      </c>
    </row>
    <row r="6" spans="1:17" x14ac:dyDescent="0.35">
      <c r="A6">
        <v>3</v>
      </c>
      <c r="B6">
        <v>6.0434197808108516</v>
      </c>
      <c r="C6">
        <v>8.461453454443026</v>
      </c>
      <c r="D6">
        <v>9.9134328071989177</v>
      </c>
      <c r="E6">
        <v>10.678006439856549</v>
      </c>
      <c r="F6">
        <v>5.6346175676099604</v>
      </c>
      <c r="G6">
        <v>7.9060830638146564</v>
      </c>
      <c r="H6">
        <v>9.7167796094615664</v>
      </c>
      <c r="I6">
        <v>10.572273766596171</v>
      </c>
      <c r="J6">
        <v>1.077212035269826</v>
      </c>
      <c r="K6">
        <v>1.700572508917277</v>
      </c>
      <c r="L6">
        <v>2.1899729914992778</v>
      </c>
      <c r="M6">
        <v>2.2011881692775872</v>
      </c>
      <c r="N6">
        <v>0.15565446444370301</v>
      </c>
      <c r="O6">
        <v>0.40292345507609079</v>
      </c>
      <c r="P6">
        <v>0.44796807517816489</v>
      </c>
      <c r="Q6">
        <v>0.49151800362575471</v>
      </c>
    </row>
    <row r="7" spans="1:17" x14ac:dyDescent="0.35">
      <c r="A7">
        <v>4</v>
      </c>
      <c r="B7">
        <v>5.9471748914748064</v>
      </c>
      <c r="C7">
        <v>8.3592607265547318</v>
      </c>
      <c r="D7">
        <v>9.8337545460956797</v>
      </c>
      <c r="E7">
        <v>10.630983838632829</v>
      </c>
      <c r="F7">
        <v>5.6344909308268241</v>
      </c>
      <c r="G7">
        <v>8.0139201914835816</v>
      </c>
      <c r="H7">
        <v>9.7648793555468778</v>
      </c>
      <c r="I7">
        <v>10.496513865580789</v>
      </c>
      <c r="J7">
        <v>1.0102654731079259</v>
      </c>
      <c r="K7">
        <v>1.714769775428387</v>
      </c>
      <c r="L7">
        <v>2.002841437270662</v>
      </c>
      <c r="M7">
        <v>2.2046733408834038</v>
      </c>
      <c r="N7">
        <v>0.18496060901663161</v>
      </c>
      <c r="O7">
        <v>0.47350289012891889</v>
      </c>
      <c r="P7">
        <v>0.47955986109856602</v>
      </c>
      <c r="Q7">
        <v>0.4766706774339925</v>
      </c>
    </row>
    <row r="8" spans="1:17" x14ac:dyDescent="0.35">
      <c r="A8">
        <v>5</v>
      </c>
      <c r="B8">
        <v>5.9471757907133309</v>
      </c>
      <c r="C8">
        <v>8.3020667864891102</v>
      </c>
      <c r="D8">
        <v>9.8498310390477908</v>
      </c>
      <c r="E8">
        <v>10.6881128151149</v>
      </c>
      <c r="F8">
        <v>5.6732528194201901</v>
      </c>
      <c r="G8">
        <v>8.0522174726394393</v>
      </c>
      <c r="H8">
        <v>9.7361728547023851</v>
      </c>
      <c r="I8">
        <v>10.620938865595919</v>
      </c>
      <c r="J8">
        <v>0.98264494047306217</v>
      </c>
      <c r="K8">
        <v>1.797900968934018</v>
      </c>
      <c r="L8">
        <v>2.156756597413207</v>
      </c>
      <c r="M8">
        <v>2.1841210697843509</v>
      </c>
      <c r="N8">
        <v>0.12852600238436129</v>
      </c>
      <c r="O8">
        <v>0.49647016952480882</v>
      </c>
      <c r="P8">
        <v>0.54094759059074771</v>
      </c>
      <c r="Q8">
        <v>0.39418994258642909</v>
      </c>
    </row>
    <row r="9" spans="1:17" x14ac:dyDescent="0.35">
      <c r="A9">
        <v>6</v>
      </c>
      <c r="B9">
        <v>6.0464970482154632</v>
      </c>
      <c r="C9">
        <v>8.4050526402920021</v>
      </c>
      <c r="D9">
        <v>9.7994035378580016</v>
      </c>
      <c r="E9">
        <v>10.665317156360519</v>
      </c>
      <c r="F9">
        <v>5.5552053251171909</v>
      </c>
      <c r="G9">
        <v>8.0121175673709715</v>
      </c>
      <c r="H9">
        <v>9.691149367501497</v>
      </c>
      <c r="I9">
        <v>10.61845939532229</v>
      </c>
      <c r="J9">
        <v>1.1402768892118009</v>
      </c>
      <c r="K9">
        <v>1.7588207488367991</v>
      </c>
      <c r="L9">
        <v>2.1238928632364522</v>
      </c>
      <c r="M9">
        <v>2.212787083698307</v>
      </c>
      <c r="N9">
        <v>0.19680172616065769</v>
      </c>
      <c r="O9">
        <v>0.49100831285960411</v>
      </c>
      <c r="P9">
        <v>0.43161317105683972</v>
      </c>
      <c r="Q9">
        <v>0.47881426344297168</v>
      </c>
    </row>
    <row r="10" spans="1:17" x14ac:dyDescent="0.35">
      <c r="A10" t="s">
        <v>8</v>
      </c>
      <c r="B10">
        <v>5.988482282918385</v>
      </c>
      <c r="C10">
        <v>8.3608573883892383</v>
      </c>
      <c r="D10">
        <v>9.8473805542060582</v>
      </c>
      <c r="E10">
        <v>10.66011335790914</v>
      </c>
      <c r="F10">
        <v>5.6462291200805312</v>
      </c>
      <c r="G10">
        <v>7.9677444137187194</v>
      </c>
      <c r="H10">
        <v>9.7303536225830687</v>
      </c>
      <c r="I10">
        <v>10.58626679632984</v>
      </c>
      <c r="J10">
        <v>1.0299498422685189</v>
      </c>
      <c r="K10">
        <v>1.7268936530864281</v>
      </c>
      <c r="L10">
        <v>2.1309724127638581</v>
      </c>
      <c r="M10">
        <v>2.1984585692839209</v>
      </c>
      <c r="N10">
        <v>0.16216415087302649</v>
      </c>
      <c r="O10">
        <v>0.44057116088712062</v>
      </c>
      <c r="P10">
        <v>0.45141052895161271</v>
      </c>
      <c r="Q10">
        <v>0.48448896367664401</v>
      </c>
    </row>
    <row r="11" spans="1:17" x14ac:dyDescent="0.35">
      <c r="A11" t="s">
        <v>9</v>
      </c>
      <c r="B11">
        <v>4.3102372476911302E-2</v>
      </c>
      <c r="C11">
        <v>5.4921019875162957E-2</v>
      </c>
      <c r="D11">
        <v>3.8586215713855627E-2</v>
      </c>
      <c r="E11">
        <v>3.4676676343831092E-2</v>
      </c>
      <c r="F11">
        <v>4.9051474059679523E-2</v>
      </c>
      <c r="G11">
        <v>7.2430027916461651E-2</v>
      </c>
      <c r="H11">
        <v>4.1289740895816968E-2</v>
      </c>
      <c r="I11">
        <v>5.5722039259885787E-2</v>
      </c>
      <c r="J11">
        <v>6.0317057647868391E-2</v>
      </c>
      <c r="K11">
        <v>4.3904433108564928E-2</v>
      </c>
      <c r="L11">
        <v>6.3430653527828354E-2</v>
      </c>
      <c r="M11">
        <v>2.1589140035377669E-2</v>
      </c>
      <c r="N11">
        <v>3.025790628939478E-2</v>
      </c>
      <c r="O11">
        <v>5.5333001602582553E-2</v>
      </c>
      <c r="P11">
        <v>5.7029222989714988E-2</v>
      </c>
      <c r="Q11">
        <v>4.9783412029250913E-2</v>
      </c>
    </row>
    <row r="14" spans="1:17" x14ac:dyDescent="0.3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17</v>
      </c>
      <c r="I14" t="s">
        <v>18</v>
      </c>
      <c r="J14" t="s">
        <v>19</v>
      </c>
      <c r="K14" t="s">
        <v>20</v>
      </c>
    </row>
    <row r="15" spans="1:17" x14ac:dyDescent="0.35">
      <c r="A15">
        <v>5</v>
      </c>
      <c r="B15">
        <v>20000</v>
      </c>
      <c r="C15">
        <v>63</v>
      </c>
      <c r="D15">
        <f>C15+273</f>
        <v>336</v>
      </c>
      <c r="E15">
        <v>5.9880000000000004</v>
      </c>
      <c r="F15">
        <v>5.6459999999999999</v>
      </c>
      <c r="G15">
        <v>1.03</v>
      </c>
      <c r="H15">
        <v>0.16200000000000001</v>
      </c>
      <c r="I15">
        <f>F15/E15</f>
        <v>0.94288577154308606</v>
      </c>
      <c r="J15">
        <f>G15/E15</f>
        <v>0.17201068804275216</v>
      </c>
      <c r="K15">
        <f>H15/E15</f>
        <v>2.7054108216432865E-2</v>
      </c>
    </row>
    <row r="16" spans="1:17" x14ac:dyDescent="0.35">
      <c r="A16">
        <v>6.5</v>
      </c>
      <c r="B16">
        <v>13500</v>
      </c>
      <c r="C16">
        <v>74</v>
      </c>
      <c r="D16">
        <f t="shared" ref="D16:D18" si="0">C16+273</f>
        <v>347</v>
      </c>
      <c r="E16">
        <v>8.36</v>
      </c>
      <c r="F16">
        <v>7.968</v>
      </c>
      <c r="G16">
        <v>1.7270000000000001</v>
      </c>
      <c r="H16">
        <v>0.441</v>
      </c>
      <c r="I16">
        <f t="shared" ref="I16:I18" si="1">F16/E16</f>
        <v>0.95311004784689002</v>
      </c>
      <c r="J16">
        <f t="shared" ref="J16:J18" si="2">G16/E16</f>
        <v>0.20657894736842108</v>
      </c>
      <c r="K16">
        <f t="shared" ref="K16:K18" si="3">H16/E16</f>
        <v>5.2751196172248806E-2</v>
      </c>
    </row>
    <row r="17" spans="1:11" x14ac:dyDescent="0.35">
      <c r="A17">
        <v>8</v>
      </c>
      <c r="B17">
        <v>10100</v>
      </c>
      <c r="C17">
        <v>82</v>
      </c>
      <c r="D17">
        <f t="shared" si="0"/>
        <v>355</v>
      </c>
      <c r="E17">
        <v>9.8469999999999995</v>
      </c>
      <c r="F17">
        <v>9.73</v>
      </c>
      <c r="G17">
        <v>2.1309999999999998</v>
      </c>
      <c r="H17">
        <v>0.45100000000000001</v>
      </c>
      <c r="I17">
        <f t="shared" si="1"/>
        <v>0.98811820859144928</v>
      </c>
      <c r="J17">
        <f t="shared" si="2"/>
        <v>0.2164110896719813</v>
      </c>
      <c r="K17">
        <f t="shared" si="3"/>
        <v>4.5800751497918152E-2</v>
      </c>
    </row>
    <row r="18" spans="1:11" x14ac:dyDescent="0.35">
      <c r="A18" t="s">
        <v>7</v>
      </c>
      <c r="B18">
        <v>9000</v>
      </c>
      <c r="C18">
        <v>85</v>
      </c>
      <c r="D18">
        <f t="shared" si="0"/>
        <v>358</v>
      </c>
      <c r="E18">
        <v>10.66</v>
      </c>
      <c r="F18">
        <v>10.586</v>
      </c>
      <c r="G18">
        <v>2.198</v>
      </c>
      <c r="H18">
        <v>0.48499999999999999</v>
      </c>
      <c r="I18">
        <f t="shared" si="1"/>
        <v>0.99305816135084424</v>
      </c>
      <c r="J18">
        <f t="shared" si="2"/>
        <v>0.20619136960600373</v>
      </c>
      <c r="K18">
        <f t="shared" si="3"/>
        <v>4.5497185741088179E-2</v>
      </c>
    </row>
  </sheetData>
  <mergeCells count="4">
    <mergeCell ref="J1:M1"/>
    <mergeCell ref="B1:E1"/>
    <mergeCell ref="N1:Q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Fredrik Scheie</cp:lastModifiedBy>
  <dcterms:created xsi:type="dcterms:W3CDTF">2026-09-22T11:34:16Z</dcterms:created>
  <dcterms:modified xsi:type="dcterms:W3CDTF">2026-09-22T11:50:31Z</dcterms:modified>
</cp:coreProperties>
</file>